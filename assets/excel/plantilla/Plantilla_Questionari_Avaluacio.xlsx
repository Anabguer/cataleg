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U:\Formacio\Plantilles\"/>
    </mc:Choice>
  </mc:AlternateContent>
  <xr:revisionPtr revIDLastSave="0" documentId="13_ncr:1_{019E1916-3AE3-4A18-B4B3-300B3100D7C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QUESTIONARI" sheetId="1" r:id="rId1"/>
    <sheet name="EXPOR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C2" i="2"/>
  <c r="AH2" i="2"/>
  <c r="J2" i="2"/>
  <c r="K2" i="2"/>
  <c r="L2" i="2"/>
  <c r="M2" i="2"/>
  <c r="H2" i="2"/>
  <c r="I2" i="2"/>
  <c r="AG2" i="2"/>
  <c r="G2" i="2"/>
  <c r="F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O2" i="2"/>
  <c r="N2" i="2"/>
  <c r="E2" i="2"/>
  <c r="B2" i="2"/>
  <c r="A2" i="2"/>
</calcChain>
</file>

<file path=xl/sharedStrings.xml><?xml version="1.0" encoding="utf-8"?>
<sst xmlns="http://schemas.openxmlformats.org/spreadsheetml/2006/main" count="95" uniqueCount="94">
  <si>
    <t>QÜESTIONARI AVALUACIÓ ASSISTENTS</t>
  </si>
  <si>
    <t>La teva opinió sobre el curs que acabes de realitzar és un element clau per poder millorar la nostra oferta formativa.</t>
  </si>
  <si>
    <t>T'agrairem que dediquis uns minuts a contestar amb cura aquest qüestionari.</t>
  </si>
  <si>
    <t>Moltes gràcies per les vostres aportacions.</t>
  </si>
  <si>
    <t>1.- Dades identificatives</t>
  </si>
  <si>
    <t>Acció formativa:</t>
  </si>
  <si>
    <t>Cognoms i nom del formador:</t>
  </si>
  <si>
    <t>Lloc d'impartició:</t>
  </si>
  <si>
    <t>2.- Motius d'assistència</t>
  </si>
  <si>
    <t>Per què vas escollir fer aquest curs?</t>
  </si>
  <si>
    <t>Quina era la teva motivació principal?</t>
  </si>
  <si>
    <t>Marca amb una X:</t>
  </si>
  <si>
    <t>Per iniciativa pròpia</t>
  </si>
  <si>
    <t>Fer millor la meva feina en el lloc de treball actual</t>
  </si>
  <si>
    <t>Per indicació del meu cap</t>
  </si>
  <si>
    <t>Preparar-me per a una feina que vull fer en el futur</t>
  </si>
  <si>
    <t>Per recomanació d'un company</t>
  </si>
  <si>
    <t>3.- Opinió en relació al programa</t>
  </si>
  <si>
    <t>4.- Opinió en relació a la metodologia</t>
  </si>
  <si>
    <t>5.- Opinió sobre el docent</t>
  </si>
  <si>
    <t>6.- Opinió sobre els participants</t>
  </si>
  <si>
    <t>7.- Opinió sobre l'entorn</t>
  </si>
  <si>
    <t>8.- Opinió sobre l'organització</t>
  </si>
  <si>
    <t>9.- Opinió sobre el resultat</t>
  </si>
  <si>
    <t>10.- Valoració global del curs (1 a 10)</t>
  </si>
  <si>
    <t>Quina és la teva valoració global del curs (1=molt deficient, 10=excel·lent)? Escriu un número.</t>
  </si>
  <si>
    <t>Valoració global (1-10):</t>
  </si>
  <si>
    <t>11.- Preguntes obertes</t>
  </si>
  <si>
    <t>Quins són els punts forts del curs?</t>
  </si>
  <si>
    <t>Quins són els punts febles del curs?</t>
  </si>
  <si>
    <t>Del que has après, què podràs aplicar?</t>
  </si>
  <si>
    <t>Recomanaries aquest curs?</t>
  </si>
  <si>
    <t>Tant en cas afirmatiu com negatiu, exposa els motius:</t>
  </si>
  <si>
    <t>Altres comentaris que vulguis afegir:</t>
  </si>
  <si>
    <t>Agraïm la teva col·laboració</t>
  </si>
  <si>
    <t>CodigoAccion</t>
  </si>
  <si>
    <t>AccioFormativa</t>
  </si>
  <si>
    <t>Formador</t>
  </si>
  <si>
    <t>LlocImparticio</t>
  </si>
  <si>
    <t>ValoracioGlobal_1_10</t>
  </si>
  <si>
    <t>Motius_Escollir</t>
  </si>
  <si>
    <t>Motivacio_Principal</t>
  </si>
  <si>
    <t>Recomana</t>
  </si>
  <si>
    <t>Motius_Recomana</t>
  </si>
  <si>
    <t>PuntsForts</t>
  </si>
  <si>
    <t>PuntsFebles</t>
  </si>
  <si>
    <t>Aplicacio</t>
  </si>
  <si>
    <t>AltresComentaris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</si>
  <si>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</si>
  <si>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</si>
  <si>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</si>
  <si>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</si>
  <si>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</si>
  <si>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</si>
  <si>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</si>
  <si>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</si>
  <si>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</si>
  <si>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</si>
  <si>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</si>
  <si>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</si>
  <si>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</si>
  <si>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</si>
  <si>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</si>
  <si>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</si>
  <si>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</si>
  <si>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</si>
  <si>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</si>
  <si>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</si>
  <si>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Codi acció:</t>
  </si>
  <si>
    <t>El contingut desenvolupat permet assolir els objectius previstos.</t>
  </si>
  <si>
    <t>Està ben estructurat.</t>
  </si>
  <si>
    <t>S'adapta a la realitat de l'Administració local.</t>
  </si>
  <si>
    <t>Les sessions han estat interessants i amenes.</t>
  </si>
  <si>
    <t>Els conceptes s'han treballat de forma pràctica i activa per tal de facilitar-ne l'aprenentatge.</t>
  </si>
  <si>
    <t>La documentació lliurada és adequada i de qualitat.</t>
  </si>
  <si>
    <t>Ha mostrat un bon domini de la matèria.</t>
  </si>
  <si>
    <t>Ha estat clar en les seves explicacions.</t>
  </si>
  <si>
    <t>S'ha mostrat receptiu davant les preguntes i comentaris dels participants.</t>
  </si>
  <si>
    <t>Ha contribuït a crear i mantenir un bon ambient a l'aula.</t>
  </si>
  <si>
    <t>El grup era suficientment homogeni com perquè tots hagin pogut seguir el ritme de les sessions.</t>
  </si>
  <si>
    <t>El grup ha mostrat una actitud participativa i constructiva.</t>
  </si>
  <si>
    <t>És fàcil accedir a les instal·lacions.</t>
  </si>
  <si>
    <t>L'aula és adequada per fer-hi aquest tipus de formació.</t>
  </si>
  <si>
    <t>Els mitjans audiovisuals han funcionat bé.</t>
  </si>
  <si>
    <t>He disposat d'informació sobre el curs amb prou antelació.</t>
  </si>
  <si>
    <t>La programació del curs, pel que fa a dates i horaris, ha estat adequada.</t>
  </si>
  <si>
    <t>S'ha respectat l'horari previst.</t>
  </si>
  <si>
    <t>S'han cobert les meves expectatives.</t>
  </si>
  <si>
    <t>He adquirit nous coneixements o habilitats.</t>
  </si>
  <si>
    <t>Asistent</t>
  </si>
  <si>
    <t>1 - Gens d'acord        2 - Poc d'acord             3 - Bastant d'acord 4 - Molt d'acord</t>
  </si>
  <si>
    <t>Valors enquesta</t>
  </si>
  <si>
    <t>Altres</t>
  </si>
  <si>
    <t xml:space="preserve">Altres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</si>
</sst>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name val="Tahoma"/>
      <family val="2"/>
    </font>
    <font>
      <sz val="16"/>
      <color theme="1"/>
      <name val="Tahoma"/>
      <family val="2"/>
    </font>
    <font>
      <b/>
      <i/>
      <sz val="12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6E6E6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0" borderId="0" xfId="0" applyFont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0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2" xfId="0" applyBorder="1"/>
    <xf numFmtId="0" fontId="2" fillId="3" borderId="14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2" fillId="4" borderId="13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4" fillId="0" borderId="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2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1" xfId="0" applyBorder="1"/>
    <xf numFmtId="0" fontId="1" fillId="2" borderId="1" xfId="0" applyFont="1" applyFill="1" applyBorder="1" applyAlignment="1">
      <alignment horizontal="left" vertical="top" wrapText="1"/>
    </xf>
    <xf numFmtId="0" fontId="6" fillId="0" borderId="16" xfId="0" applyFont="1" applyBorder="1" applyAlignment="1">
      <alignment horizontal="center" vertical="center" wrapText="1"/>
    </xf>
    <xf numFmtId="0" fontId="7" fillId="0" borderId="17" xfId="0" applyFont="1" applyBorder="1"/>
    <xf numFmtId="0" fontId="7" fillId="0" borderId="18" xfId="0" applyFont="1" applyBorder="1"/>
    <xf numFmtId="0" fontId="2" fillId="0" borderId="14" xfId="0" applyFont="1" applyBorder="1" applyAlignment="1">
      <alignment horizontal="left" vertical="top" wrapText="1"/>
    </xf>
    <xf numFmtId="0" fontId="0" fillId="0" borderId="14" xfId="0" applyBorder="1"/>
    <xf numFmtId="0" fontId="0" fillId="0" borderId="13" xfId="0" applyBorder="1" applyAlignment="1" applyProtection="1">
      <alignment horizontal="left" vertical="top" wrapText="1"/>
      <protection locked="0"/>
    </xf>
    <xf numFmtId="0" fontId="0" fillId="0" borderId="13" xfId="0" applyBorder="1" applyProtection="1">
      <protection locked="0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12" xfId="0" applyBorder="1" applyAlignment="1">
      <alignment horizontal="left" vertical="top" wrapText="1"/>
    </xf>
    <xf numFmtId="0" fontId="0" fillId="0" borderId="10" xfId="0" applyBorder="1"/>
    <xf numFmtId="0" fontId="0" fillId="0" borderId="15" xfId="0" applyBorder="1"/>
    <xf numFmtId="0" fontId="0" fillId="0" borderId="11" xfId="0" applyBorder="1" applyAlignment="1">
      <alignment horizontal="left" vertical="top" wrapText="1"/>
    </xf>
    <xf numFmtId="1" fontId="0" fillId="0" borderId="13" xfId="0" applyNumberForma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J93"/>
  <sheetViews>
    <sheetView showGridLines="0" tabSelected="1" zoomScaleNormal="100" workbookViewId="0">
      <selection activeCell="G18" sqref="G18"/>
    </sheetView>
  </sheetViews>
  <sheetFormatPr baseColWidth="10" defaultColWidth="9.140625" defaultRowHeight="15" x14ac:dyDescent="0.25"/>
  <cols>
    <col min="1" max="1" width="43.85546875" customWidth="1"/>
    <col min="2" max="2" width="60" customWidth="1"/>
    <col min="3" max="6" width="8.5703125" style="9" customWidth="1"/>
    <col min="7" max="7" width="8.5703125" customWidth="1"/>
  </cols>
  <sheetData>
    <row r="1" spans="2:10" ht="34.5" customHeight="1" thickBot="1" x14ac:dyDescent="0.3">
      <c r="B1" s="39" t="s">
        <v>0</v>
      </c>
      <c r="C1" s="40"/>
      <c r="D1" s="40"/>
      <c r="E1" s="40"/>
      <c r="F1" s="40"/>
      <c r="G1" s="41"/>
    </row>
    <row r="2" spans="2:10" ht="16.5" thickBot="1" x14ac:dyDescent="0.3">
      <c r="F2" s="23" t="s">
        <v>91</v>
      </c>
    </row>
    <row r="3" spans="2:10" ht="29.25" customHeight="1" x14ac:dyDescent="0.25">
      <c r="B3" s="26" t="s">
        <v>1</v>
      </c>
      <c r="C3" s="27"/>
      <c r="D3" s="27"/>
      <c r="E3" s="27"/>
      <c r="F3" s="30" t="s">
        <v>90</v>
      </c>
      <c r="G3" s="31"/>
    </row>
    <row r="4" spans="2:10" ht="15" customHeight="1" x14ac:dyDescent="0.25">
      <c r="B4" s="24" t="s">
        <v>2</v>
      </c>
      <c r="C4" s="25"/>
      <c r="D4" s="25"/>
      <c r="E4" s="25"/>
      <c r="F4" s="32"/>
      <c r="G4" s="33"/>
    </row>
    <row r="5" spans="2:10" ht="15.75" thickBot="1" x14ac:dyDescent="0.3">
      <c r="B5" s="28" t="s">
        <v>3</v>
      </c>
      <c r="C5" s="29"/>
      <c r="D5" s="29"/>
      <c r="E5" s="29"/>
      <c r="F5" s="34"/>
      <c r="G5" s="35"/>
    </row>
    <row r="7" spans="2:10" x14ac:dyDescent="0.25">
      <c r="B7" s="38" t="s">
        <v>4</v>
      </c>
      <c r="C7" s="37"/>
      <c r="D7" s="37"/>
      <c r="E7" s="37"/>
      <c r="F7" s="37"/>
      <c r="G7" s="37"/>
    </row>
    <row r="8" spans="2:10" x14ac:dyDescent="0.25">
      <c r="B8" s="2" t="s">
        <v>5</v>
      </c>
      <c r="C8" s="36"/>
      <c r="D8" s="37"/>
      <c r="E8" s="37"/>
      <c r="F8" s="37"/>
      <c r="G8" s="37"/>
      <c r="J8" s="7"/>
    </row>
    <row r="9" spans="2:10" x14ac:dyDescent="0.25">
      <c r="B9" s="2" t="s">
        <v>6</v>
      </c>
      <c r="C9" s="36"/>
      <c r="D9" s="37"/>
      <c r="E9" s="37"/>
      <c r="F9" s="37"/>
      <c r="G9" s="37"/>
    </row>
    <row r="10" spans="2:10" x14ac:dyDescent="0.25">
      <c r="B10" s="2" t="s">
        <v>7</v>
      </c>
      <c r="C10" s="36"/>
      <c r="D10" s="37"/>
      <c r="E10" s="37"/>
      <c r="F10" s="37"/>
      <c r="G10" s="37"/>
    </row>
    <row r="11" spans="2:10" x14ac:dyDescent="0.25">
      <c r="B11" s="8" t="s">
        <v>68</v>
      </c>
      <c r="C11" s="49"/>
      <c r="D11" s="37"/>
      <c r="E11" s="37"/>
      <c r="F11" s="37"/>
      <c r="G11" s="37"/>
    </row>
    <row r="12" spans="2:10" x14ac:dyDescent="0.25">
      <c r="C12" s="11"/>
    </row>
    <row r="13" spans="2:10" x14ac:dyDescent="0.25">
      <c r="B13" s="38" t="s">
        <v>8</v>
      </c>
      <c r="C13" s="37"/>
      <c r="D13" s="37"/>
      <c r="E13" s="37"/>
      <c r="F13" s="37"/>
      <c r="G13" s="37"/>
    </row>
    <row r="14" spans="2:10" ht="15" customHeight="1" x14ac:dyDescent="0.25">
      <c r="B14" s="2" t="s">
        <v>9</v>
      </c>
      <c r="C14" s="10"/>
      <c r="D14" s="46" t="s">
        <v>10</v>
      </c>
      <c r="E14" s="47"/>
      <c r="F14" s="48"/>
      <c r="G14" s="37"/>
    </row>
    <row r="15" spans="2:10" x14ac:dyDescent="0.25">
      <c r="B15" s="3" t="s">
        <v>11</v>
      </c>
      <c r="C15" s="14"/>
      <c r="D15" s="49" t="s">
        <v>11</v>
      </c>
      <c r="E15" s="37"/>
      <c r="F15" s="37"/>
      <c r="G15" s="43"/>
    </row>
    <row r="16" spans="2:10" ht="30" customHeight="1" x14ac:dyDescent="0.25">
      <c r="B16" s="13" t="s">
        <v>12</v>
      </c>
      <c r="C16" s="15"/>
      <c r="D16" s="55" t="s">
        <v>13</v>
      </c>
      <c r="E16" s="55"/>
      <c r="F16" s="55"/>
      <c r="G16" s="15"/>
    </row>
    <row r="17" spans="2:7" ht="30" customHeight="1" x14ac:dyDescent="0.25">
      <c r="B17" s="13" t="s">
        <v>14</v>
      </c>
      <c r="C17" s="15"/>
      <c r="D17" s="55" t="s">
        <v>15</v>
      </c>
      <c r="E17" s="55"/>
      <c r="F17" s="55"/>
      <c r="G17" s="15"/>
    </row>
    <row r="18" spans="2:7" x14ac:dyDescent="0.25">
      <c r="B18" s="13" t="s">
        <v>16</v>
      </c>
      <c r="C18" s="15"/>
      <c r="D18" s="52" t="s">
        <v>93</v>
      </c>
      <c r="E18" s="37"/>
      <c r="F18" s="53"/>
      <c r="G18" s="15"/>
    </row>
    <row r="19" spans="2:7" x14ac:dyDescent="0.25">
      <c r="B19" s="13" t="s">
        <v>92</v>
      </c>
      <c r="C19" s="15"/>
      <c r="D19" s="52"/>
      <c r="E19" s="37"/>
      <c r="F19" s="53"/>
      <c r="G19" s="16"/>
    </row>
    <row r="21" spans="2:7" x14ac:dyDescent="0.25">
      <c r="B21" s="38" t="s">
        <v>17</v>
      </c>
      <c r="C21" s="37"/>
      <c r="D21" s="37"/>
      <c r="E21" s="37"/>
      <c r="F21" s="37"/>
      <c r="G21" s="37"/>
    </row>
    <row r="22" spans="2:7" x14ac:dyDescent="0.25">
      <c r="B22" s="4"/>
      <c r="C22" s="17">
        <v>1</v>
      </c>
      <c r="D22" s="17">
        <v>2</v>
      </c>
      <c r="E22" s="17">
        <v>3</v>
      </c>
      <c r="F22" s="17">
        <v>4</v>
      </c>
      <c r="G22" s="5"/>
    </row>
    <row r="23" spans="2:7" x14ac:dyDescent="0.25">
      <c r="B23" s="13" t="s">
        <v>69</v>
      </c>
      <c r="C23" s="15"/>
      <c r="D23" s="15"/>
      <c r="E23" s="15"/>
      <c r="F23" s="15"/>
      <c r="G23" s="16"/>
    </row>
    <row r="24" spans="2:7" x14ac:dyDescent="0.25">
      <c r="B24" s="13" t="s">
        <v>70</v>
      </c>
      <c r="C24" s="15"/>
      <c r="D24" s="15"/>
      <c r="E24" s="15"/>
      <c r="F24" s="15"/>
      <c r="G24" s="16"/>
    </row>
    <row r="25" spans="2:7" x14ac:dyDescent="0.25">
      <c r="B25" s="13" t="s">
        <v>71</v>
      </c>
      <c r="C25" s="15"/>
      <c r="D25" s="15"/>
      <c r="E25" s="15"/>
      <c r="F25" s="15"/>
      <c r="G25" s="16"/>
    </row>
    <row r="27" spans="2:7" x14ac:dyDescent="0.25">
      <c r="B27" s="38" t="s">
        <v>18</v>
      </c>
      <c r="C27" s="37"/>
      <c r="D27" s="37"/>
      <c r="E27" s="37"/>
      <c r="F27" s="37"/>
      <c r="G27" s="37"/>
    </row>
    <row r="28" spans="2:7" x14ac:dyDescent="0.25">
      <c r="B28" s="4"/>
      <c r="C28" s="17">
        <v>1</v>
      </c>
      <c r="D28" s="17">
        <v>2</v>
      </c>
      <c r="E28" s="17">
        <v>3</v>
      </c>
      <c r="F28" s="17">
        <v>4</v>
      </c>
      <c r="G28" s="5"/>
    </row>
    <row r="29" spans="2:7" x14ac:dyDescent="0.25">
      <c r="B29" s="13" t="s">
        <v>72</v>
      </c>
      <c r="C29" s="15"/>
      <c r="D29" s="15"/>
      <c r="E29" s="15"/>
      <c r="F29" s="15"/>
      <c r="G29" s="16"/>
    </row>
    <row r="30" spans="2:7" ht="30" x14ac:dyDescent="0.25">
      <c r="B30" s="13" t="s">
        <v>73</v>
      </c>
      <c r="C30" s="15"/>
      <c r="D30" s="15"/>
      <c r="E30" s="15"/>
      <c r="F30" s="15"/>
      <c r="G30" s="16"/>
    </row>
    <row r="31" spans="2:7" x14ac:dyDescent="0.25">
      <c r="B31" s="13" t="s">
        <v>74</v>
      </c>
      <c r="C31" s="15"/>
      <c r="D31" s="15"/>
      <c r="E31" s="15"/>
      <c r="F31" s="15"/>
      <c r="G31" s="16"/>
    </row>
    <row r="33" spans="2:7" x14ac:dyDescent="0.25">
      <c r="B33" s="38" t="s">
        <v>19</v>
      </c>
      <c r="C33" s="37"/>
      <c r="D33" s="37"/>
      <c r="E33" s="37"/>
      <c r="F33" s="37"/>
      <c r="G33" s="37"/>
    </row>
    <row r="34" spans="2:7" x14ac:dyDescent="0.25">
      <c r="B34" s="4"/>
      <c r="C34" s="17">
        <v>1</v>
      </c>
      <c r="D34" s="17">
        <v>2</v>
      </c>
      <c r="E34" s="17">
        <v>3</v>
      </c>
      <c r="F34" s="17">
        <v>4</v>
      </c>
      <c r="G34" s="5"/>
    </row>
    <row r="35" spans="2:7" x14ac:dyDescent="0.25">
      <c r="B35" s="13" t="s">
        <v>75</v>
      </c>
      <c r="C35" s="15"/>
      <c r="D35" s="15"/>
      <c r="E35" s="15"/>
      <c r="F35" s="15"/>
      <c r="G35" s="16"/>
    </row>
    <row r="36" spans="2:7" x14ac:dyDescent="0.25">
      <c r="B36" s="13" t="s">
        <v>76</v>
      </c>
      <c r="C36" s="15"/>
      <c r="D36" s="15"/>
      <c r="E36" s="15"/>
      <c r="F36" s="15"/>
      <c r="G36" s="16"/>
    </row>
    <row r="37" spans="2:7" ht="30" x14ac:dyDescent="0.25">
      <c r="B37" s="13" t="s">
        <v>77</v>
      </c>
      <c r="C37" s="15"/>
      <c r="D37" s="15"/>
      <c r="E37" s="15"/>
      <c r="F37" s="15"/>
      <c r="G37" s="16"/>
    </row>
    <row r="38" spans="2:7" x14ac:dyDescent="0.25">
      <c r="B38" s="13" t="s">
        <v>78</v>
      </c>
      <c r="C38" s="15"/>
      <c r="D38" s="15"/>
      <c r="E38" s="15"/>
      <c r="F38" s="15"/>
      <c r="G38" s="16"/>
    </row>
    <row r="40" spans="2:7" x14ac:dyDescent="0.25">
      <c r="B40" s="38" t="s">
        <v>20</v>
      </c>
      <c r="C40" s="37"/>
      <c r="D40" s="37"/>
      <c r="E40" s="37"/>
      <c r="F40" s="37"/>
      <c r="G40" s="37"/>
    </row>
    <row r="41" spans="2:7" x14ac:dyDescent="0.25">
      <c r="B41" s="4"/>
      <c r="C41" s="17">
        <v>1</v>
      </c>
      <c r="D41" s="17">
        <v>2</v>
      </c>
      <c r="E41" s="17">
        <v>3</v>
      </c>
      <c r="F41" s="17">
        <v>4</v>
      </c>
      <c r="G41" s="5"/>
    </row>
    <row r="42" spans="2:7" ht="30" x14ac:dyDescent="0.25">
      <c r="B42" s="13" t="s">
        <v>79</v>
      </c>
      <c r="C42" s="15"/>
      <c r="D42" s="15"/>
      <c r="E42" s="15"/>
      <c r="F42" s="15"/>
      <c r="G42" s="16"/>
    </row>
    <row r="43" spans="2:7" x14ac:dyDescent="0.25">
      <c r="B43" s="13" t="s">
        <v>80</v>
      </c>
      <c r="C43" s="15"/>
      <c r="D43" s="15"/>
      <c r="E43" s="15"/>
      <c r="F43" s="15"/>
      <c r="G43" s="16"/>
    </row>
    <row r="45" spans="2:7" x14ac:dyDescent="0.25">
      <c r="B45" s="38" t="s">
        <v>21</v>
      </c>
      <c r="C45" s="37"/>
      <c r="D45" s="37"/>
      <c r="E45" s="37"/>
      <c r="F45" s="37"/>
      <c r="G45" s="37"/>
    </row>
    <row r="46" spans="2:7" x14ac:dyDescent="0.25">
      <c r="B46" s="4"/>
      <c r="C46" s="17">
        <v>1</v>
      </c>
      <c r="D46" s="17">
        <v>2</v>
      </c>
      <c r="E46" s="17">
        <v>3</v>
      </c>
      <c r="F46" s="17">
        <v>4</v>
      </c>
      <c r="G46" s="5"/>
    </row>
    <row r="47" spans="2:7" x14ac:dyDescent="0.25">
      <c r="B47" s="13" t="s">
        <v>81</v>
      </c>
      <c r="C47" s="15"/>
      <c r="D47" s="15"/>
      <c r="E47" s="15"/>
      <c r="F47" s="15"/>
      <c r="G47" s="16"/>
    </row>
    <row r="48" spans="2:7" x14ac:dyDescent="0.25">
      <c r="B48" s="13" t="s">
        <v>82</v>
      </c>
      <c r="C48" s="15"/>
      <c r="D48" s="15"/>
      <c r="E48" s="15"/>
      <c r="F48" s="15"/>
      <c r="G48" s="16"/>
    </row>
    <row r="49" spans="2:7" x14ac:dyDescent="0.25">
      <c r="B49" s="13" t="s">
        <v>83</v>
      </c>
      <c r="C49" s="15"/>
      <c r="D49" s="15"/>
      <c r="E49" s="15"/>
      <c r="F49" s="15"/>
      <c r="G49" s="16"/>
    </row>
    <row r="51" spans="2:7" x14ac:dyDescent="0.25">
      <c r="B51" s="38" t="s">
        <v>22</v>
      </c>
      <c r="C51" s="37"/>
      <c r="D51" s="37"/>
      <c r="E51" s="37"/>
      <c r="F51" s="37"/>
      <c r="G51" s="37"/>
    </row>
    <row r="52" spans="2:7" x14ac:dyDescent="0.25">
      <c r="B52" s="4"/>
      <c r="C52" s="17">
        <v>1</v>
      </c>
      <c r="D52" s="17">
        <v>2</v>
      </c>
      <c r="E52" s="17">
        <v>3</v>
      </c>
      <c r="F52" s="17">
        <v>4</v>
      </c>
      <c r="G52" s="5"/>
    </row>
    <row r="53" spans="2:7" x14ac:dyDescent="0.25">
      <c r="B53" s="13" t="s">
        <v>84</v>
      </c>
      <c r="C53" s="15"/>
      <c r="D53" s="15"/>
      <c r="E53" s="15"/>
      <c r="F53" s="15"/>
      <c r="G53" s="16"/>
    </row>
    <row r="54" spans="2:7" ht="30" x14ac:dyDescent="0.25">
      <c r="B54" s="13" t="s">
        <v>85</v>
      </c>
      <c r="C54" s="15"/>
      <c r="D54" s="15"/>
      <c r="E54" s="15"/>
      <c r="F54" s="15"/>
      <c r="G54" s="16"/>
    </row>
    <row r="55" spans="2:7" x14ac:dyDescent="0.25">
      <c r="B55" s="13" t="s">
        <v>86</v>
      </c>
      <c r="C55" s="15"/>
      <c r="D55" s="15"/>
      <c r="E55" s="15"/>
      <c r="F55" s="15"/>
      <c r="G55" s="16"/>
    </row>
    <row r="57" spans="2:7" x14ac:dyDescent="0.25">
      <c r="B57" s="38" t="s">
        <v>23</v>
      </c>
      <c r="C57" s="37"/>
      <c r="D57" s="37"/>
      <c r="E57" s="37"/>
      <c r="F57" s="37"/>
      <c r="G57" s="37"/>
    </row>
    <row r="58" spans="2:7" x14ac:dyDescent="0.25">
      <c r="B58" s="4"/>
      <c r="C58" s="17">
        <v>1</v>
      </c>
      <c r="D58" s="17">
        <v>2</v>
      </c>
      <c r="E58" s="17">
        <v>3</v>
      </c>
      <c r="F58" s="17">
        <v>4</v>
      </c>
      <c r="G58" s="5"/>
    </row>
    <row r="59" spans="2:7" x14ac:dyDescent="0.25">
      <c r="B59" s="13" t="s">
        <v>87</v>
      </c>
      <c r="C59" s="15"/>
      <c r="D59" s="15"/>
      <c r="E59" s="15"/>
      <c r="F59" s="15"/>
      <c r="G59" s="16"/>
    </row>
    <row r="60" spans="2:7" x14ac:dyDescent="0.25">
      <c r="B60" s="13" t="s">
        <v>88</v>
      </c>
      <c r="C60" s="15"/>
      <c r="D60" s="15"/>
      <c r="E60" s="15"/>
      <c r="F60" s="15"/>
      <c r="G60" s="16"/>
    </row>
    <row r="62" spans="2:7" x14ac:dyDescent="0.25">
      <c r="B62" s="38" t="s">
        <v>24</v>
      </c>
      <c r="C62" s="37"/>
      <c r="D62" s="37"/>
      <c r="E62" s="37"/>
      <c r="F62" s="37"/>
      <c r="G62" s="37"/>
    </row>
    <row r="63" spans="2:7" x14ac:dyDescent="0.25">
      <c r="B63" s="49" t="s">
        <v>25</v>
      </c>
      <c r="C63" s="43"/>
      <c r="D63" s="37"/>
      <c r="E63" s="37"/>
      <c r="F63" s="37"/>
      <c r="G63" s="37"/>
    </row>
    <row r="64" spans="2:7" x14ac:dyDescent="0.25">
      <c r="B64" s="18" t="s">
        <v>26</v>
      </c>
      <c r="C64" s="56"/>
      <c r="D64" s="19"/>
      <c r="E64" s="10"/>
      <c r="F64" s="10"/>
      <c r="G64" s="1"/>
    </row>
    <row r="66" spans="2:7" x14ac:dyDescent="0.25">
      <c r="B66" s="38" t="s">
        <v>27</v>
      </c>
      <c r="C66" s="37"/>
      <c r="D66" s="37"/>
      <c r="E66" s="37"/>
      <c r="F66" s="37"/>
      <c r="G66" s="37"/>
    </row>
    <row r="67" spans="2:7" x14ac:dyDescent="0.25">
      <c r="B67" s="42" t="s">
        <v>28</v>
      </c>
      <c r="C67" s="43"/>
      <c r="D67" s="43"/>
      <c r="E67" s="43"/>
      <c r="F67" s="43"/>
      <c r="G67" s="43"/>
    </row>
    <row r="68" spans="2:7" x14ac:dyDescent="0.25">
      <c r="B68" s="44"/>
      <c r="C68" s="45"/>
      <c r="D68" s="45"/>
      <c r="E68" s="45"/>
      <c r="F68" s="45"/>
      <c r="G68" s="45"/>
    </row>
    <row r="69" spans="2:7" x14ac:dyDescent="0.25">
      <c r="B69" s="45"/>
      <c r="C69" s="45"/>
      <c r="D69" s="45"/>
      <c r="E69" s="45"/>
      <c r="F69" s="45"/>
      <c r="G69" s="45"/>
    </row>
    <row r="70" spans="2:7" x14ac:dyDescent="0.25">
      <c r="B70" s="45"/>
      <c r="C70" s="45"/>
      <c r="D70" s="45"/>
      <c r="E70" s="45"/>
      <c r="F70" s="45"/>
      <c r="G70" s="45"/>
    </row>
    <row r="72" spans="2:7" x14ac:dyDescent="0.25">
      <c r="B72" s="42" t="s">
        <v>29</v>
      </c>
      <c r="C72" s="43"/>
      <c r="D72" s="43"/>
      <c r="E72" s="43"/>
      <c r="F72" s="43"/>
      <c r="G72" s="43"/>
    </row>
    <row r="73" spans="2:7" x14ac:dyDescent="0.25">
      <c r="B73" s="44"/>
      <c r="C73" s="45"/>
      <c r="D73" s="45"/>
      <c r="E73" s="45"/>
      <c r="F73" s="45"/>
      <c r="G73" s="45"/>
    </row>
    <row r="74" spans="2:7" x14ac:dyDescent="0.25">
      <c r="B74" s="45"/>
      <c r="C74" s="45"/>
      <c r="D74" s="45"/>
      <c r="E74" s="45"/>
      <c r="F74" s="45"/>
      <c r="G74" s="45"/>
    </row>
    <row r="75" spans="2:7" x14ac:dyDescent="0.25">
      <c r="B75" s="45"/>
      <c r="C75" s="45"/>
      <c r="D75" s="45"/>
      <c r="E75" s="45"/>
      <c r="F75" s="45"/>
      <c r="G75" s="45"/>
    </row>
    <row r="77" spans="2:7" x14ac:dyDescent="0.25">
      <c r="B77" s="42" t="s">
        <v>30</v>
      </c>
      <c r="C77" s="43"/>
      <c r="D77" s="43"/>
      <c r="E77" s="43"/>
      <c r="F77" s="43"/>
      <c r="G77" s="43"/>
    </row>
    <row r="78" spans="2:7" x14ac:dyDescent="0.25">
      <c r="B78" s="44"/>
      <c r="C78" s="45"/>
      <c r="D78" s="45"/>
      <c r="E78" s="45"/>
      <c r="F78" s="45"/>
      <c r="G78" s="45"/>
    </row>
    <row r="79" spans="2:7" x14ac:dyDescent="0.25">
      <c r="B79" s="45"/>
      <c r="C79" s="45"/>
      <c r="D79" s="45"/>
      <c r="E79" s="45"/>
      <c r="F79" s="45"/>
      <c r="G79" s="45"/>
    </row>
    <row r="80" spans="2:7" x14ac:dyDescent="0.25">
      <c r="B80" s="45"/>
      <c r="C80" s="45"/>
      <c r="D80" s="45"/>
      <c r="E80" s="45"/>
      <c r="F80" s="45"/>
      <c r="G80" s="45"/>
    </row>
    <row r="82" spans="2:7" x14ac:dyDescent="0.25">
      <c r="B82" s="12" t="s">
        <v>31</v>
      </c>
      <c r="C82" s="22"/>
      <c r="D82" s="20"/>
      <c r="E82" s="20"/>
      <c r="F82" s="20"/>
      <c r="G82" s="21"/>
    </row>
    <row r="83" spans="2:7" x14ac:dyDescent="0.25">
      <c r="B83" s="42" t="s">
        <v>32</v>
      </c>
      <c r="C83" s="54"/>
      <c r="D83" s="43"/>
      <c r="E83" s="54"/>
      <c r="F83" s="43"/>
      <c r="G83" s="43"/>
    </row>
    <row r="84" spans="2:7" x14ac:dyDescent="0.25">
      <c r="B84" s="44"/>
      <c r="C84" s="45"/>
      <c r="D84" s="45"/>
      <c r="E84" s="45"/>
      <c r="F84" s="45"/>
      <c r="G84" s="45"/>
    </row>
    <row r="85" spans="2:7" x14ac:dyDescent="0.25">
      <c r="B85" s="45"/>
      <c r="C85" s="45"/>
      <c r="D85" s="45"/>
      <c r="E85" s="45"/>
      <c r="F85" s="45"/>
      <c r="G85" s="45"/>
    </row>
    <row r="86" spans="2:7" x14ac:dyDescent="0.25">
      <c r="B86" s="45"/>
      <c r="C86" s="45"/>
      <c r="D86" s="45"/>
      <c r="E86" s="45"/>
      <c r="F86" s="45"/>
      <c r="G86" s="45"/>
    </row>
    <row r="88" spans="2:7" x14ac:dyDescent="0.25">
      <c r="B88" s="42" t="s">
        <v>33</v>
      </c>
      <c r="C88" s="43"/>
      <c r="D88" s="43"/>
      <c r="E88" s="43"/>
      <c r="F88" s="43"/>
      <c r="G88" s="43"/>
    </row>
    <row r="89" spans="2:7" x14ac:dyDescent="0.25">
      <c r="B89" s="44"/>
      <c r="C89" s="45"/>
      <c r="D89" s="45"/>
      <c r="E89" s="45"/>
      <c r="F89" s="45"/>
      <c r="G89" s="45"/>
    </row>
    <row r="90" spans="2:7" x14ac:dyDescent="0.25">
      <c r="B90" s="45"/>
      <c r="C90" s="45"/>
      <c r="D90" s="45"/>
      <c r="E90" s="45"/>
      <c r="F90" s="45"/>
      <c r="G90" s="45"/>
    </row>
    <row r="91" spans="2:7" x14ac:dyDescent="0.25">
      <c r="B91" s="45"/>
      <c r="C91" s="45"/>
      <c r="D91" s="45"/>
      <c r="E91" s="45"/>
      <c r="F91" s="45"/>
      <c r="G91" s="45"/>
    </row>
    <row r="93" spans="2:7" x14ac:dyDescent="0.25">
      <c r="B93" s="50" t="s">
        <v>34</v>
      </c>
      <c r="C93" s="51"/>
      <c r="D93" s="51"/>
      <c r="E93" s="51"/>
      <c r="F93" s="51"/>
      <c r="G93" s="51"/>
    </row>
  </sheetData>
  <sheetProtection algorithmName="SHA-512" hashValue="ALoZYwQf2ftJYjEi++BUhSxPy+bqPvDJrita/ZP7LdHISr4anm6pt8cqiAa2tEOFn6LxVx7GCInlGzTKDWVwFg==" saltValue="E1WtU8D5wSulKDHv7TzAYw==" spinCount="100000" sheet="1" objects="1" scenarios="1" selectLockedCells="1"/>
  <mergeCells count="39">
    <mergeCell ref="C64"/>
    <mergeCell ref="B27:G27"/>
    <mergeCell ref="B93:G93"/>
    <mergeCell ref="C10:G10"/>
    <mergeCell ref="B68:G70"/>
    <mergeCell ref="B67:G67"/>
    <mergeCell ref="D18:F18"/>
    <mergeCell ref="B40:G40"/>
    <mergeCell ref="B83:G83"/>
    <mergeCell ref="B77:G77"/>
    <mergeCell ref="B21:G21"/>
    <mergeCell ref="B57:G57"/>
    <mergeCell ref="B33:G33"/>
    <mergeCell ref="B89:G91"/>
    <mergeCell ref="C11:G11"/>
    <mergeCell ref="D17:F17"/>
    <mergeCell ref="D15:G15"/>
    <mergeCell ref="B62:G62"/>
    <mergeCell ref="B51:G51"/>
    <mergeCell ref="B1:G1"/>
    <mergeCell ref="B45:G45"/>
    <mergeCell ref="B88:G88"/>
    <mergeCell ref="B73:G75"/>
    <mergeCell ref="B84:G86"/>
    <mergeCell ref="B7:G7"/>
    <mergeCell ref="B13:G13"/>
    <mergeCell ref="C8:G8"/>
    <mergeCell ref="B72:G72"/>
    <mergeCell ref="D14:G14"/>
    <mergeCell ref="B63:G63"/>
    <mergeCell ref="B78:G80"/>
    <mergeCell ref="D19:F19"/>
    <mergeCell ref="D16:F16"/>
    <mergeCell ref="B66:G66"/>
    <mergeCell ref="B4:E4"/>
    <mergeCell ref="B3:E3"/>
    <mergeCell ref="B5:E5"/>
    <mergeCell ref="F3:G5"/>
    <mergeCell ref="C9:G9"/>
  </mergeCells>
  <dataValidations count="13">
    <dataValidation type="list" allowBlank="1" sqref="D82 F82" xr:uid="{00000000-0002-0000-0000-000000000000}">
      <formula1>"X,"</formula1>
    </dataValidation>
    <dataValidation type="whole" showErrorMessage="1" errorTitle="Vàlids" error="_x000a_Només es permeten valors entre 1 i 10" sqref="C64" xr:uid="{00000000-0002-0000-0000-000001000000}">
      <formula1>1</formula1>
      <formula2>10</formula2>
    </dataValidation>
    <dataValidation type="custom" allowBlank="1" showErrorMessage="1" errorTitle="Resposta" error="Marcar amb X o buit" sqref="G19" xr:uid="{4A289497-CA84-467D-8864-D37F58A1D4BE}">
      <formula1>OR(G19="X",G19="")</formula1>
    </dataValidation>
    <dataValidation type="whole" allowBlank="1" showInputMessage="1" showErrorMessage="1" errorTitle="Vàlids" error="només es permeten valors entre 1 i 10" sqref="J20" xr:uid="{E80F7E77-0D74-4331-B07A-D93AFD048A41}">
      <formula1>1</formula1>
      <formula2>10</formula2>
    </dataValidation>
    <dataValidation type="list" allowBlank="1" showInputMessage="1" showErrorMessage="1" errorTitle="Resposta" error="Valors Vàlids SI o NO" sqref="C82" xr:uid="{6E914BEA-5DEE-4CC4-B048-6B245BBA143B}">
      <formula1>"SI,NO"</formula1>
    </dataValidation>
    <dataValidation type="custom" allowBlank="1" showDropDown="1" showInputMessage="1" showErrorMessage="1" errorTitle="Selecció incorrecta" error="Només es permet UNA resposta per pregunta._x000d__x000a_Només pots posar una &quot;X&quot; (o deixar-ho en blanc)._x000d__x000a_Si vols canviar-la, elimina la “X” anterior abans de marcar una altra." promptTitle="Resposta" prompt="Marca una &quot;X&quot; o deixa-ho en blanc (només 1 X per fila)." sqref="C59:F60 C53:F55 C47:F49 C42:F43 C35:F38 C29:F31 C23:F25" xr:uid="{0CC2AD88-E6A5-4A4D-B7A8-D2382CDBAA7F}">
      <formula1>AND(OR(C23="",C23="X"),COUNTIF($C23:$F23,"X")&lt;=1)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C16" xr:uid="{DDC427E5-E17D-43A0-8FC0-12EE21EF4E32}">
      <formula1>AND(OR(C16="",C16="X"),COUNTIF($C16:$C19,"X")&lt;=1)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C17" xr:uid="{58BD659C-13F6-48AD-9ACC-73EEAA250F67}">
      <formula1>AND(OR(C17="",C17="X"),COUNTIF($C16:$C19,"X")&lt;=1)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C18" xr:uid="{756832C7-4EAD-4118-B2A4-A94A3F899B5A}">
      <formula1>AND(OR(C18="",C18="X"),COUNTIF($C16:$C19,"X")&lt;=1)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C19" xr:uid="{6E8A2048-C85F-4511-AF73-E1233FAB321A}">
      <formula1>AND(OR(C19="",C19="X"),COUNTIF($C16:$C19,"X")&lt;=1)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G18" xr:uid="{FDEB8FB0-075C-4DA7-AEFB-49AD6414C1D6}">
      <formula1>AND(OR(G18="",G18="X"),COUNTIF($G16:$G18,"X")&lt;=1)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G17" xr:uid="{ED9B6CC2-71D1-47A7-B96D-2E07E9261739}">
      <formula1>AND(OR(G17="",G17="X"),COUNTIF($G16:$G18,"X")&lt;=1)</formula1>
    </dataValidation>
    <dataValidation type="custom" allowBlank="1" showInputMessage="1" showErrorMessage="1" errorTitle="Selecció incorrecta" error="Només es permet UNA resposta per pregunta._x000a__x000a_Només pots posar una &quot;X&quot; (o deixar-ho en blanc)._x000a__x000a_Si vols canviar-la, elimina la “X” anterior abans de marcar una altra." promptTitle="Resposta" prompt="Marca una &quot;X&quot; o deixa-ho en blanc (només 1 X per columna)." sqref="G16" xr:uid="{3B17D854-5607-4F51-A9A3-A0B73A80ABF7}">
      <formula1>AND(OR(G16="",G16="X"),COUNTIF($G16:$G18,"X")&lt;=1)</formula1>
    </dataValidation>
  </dataValidations>
  <printOptions horizontalCentered="1"/>
  <pageMargins left="0.74803149606299213" right="0.74803149606299213" top="0.98425196850393704" bottom="0.98425196850393704" header="0.51181102362204722" footer="0.5118110236220472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H2"/>
  <sheetViews>
    <sheetView workbookViewId="0">
      <selection activeCell="D2" sqref="D2"/>
    </sheetView>
  </sheetViews>
  <sheetFormatPr baseColWidth="10" defaultColWidth="9.140625" defaultRowHeight="15" x14ac:dyDescent="0.25"/>
  <cols>
    <col min="1" max="32" width="20" customWidth="1"/>
    <col min="33" max="33" width="14" customWidth="1"/>
  </cols>
  <sheetData>
    <row r="1" spans="1:34" x14ac:dyDescent="0.25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43</v>
      </c>
      <c r="J1" s="6" t="s">
        <v>44</v>
      </c>
      <c r="K1" s="6" t="s">
        <v>45</v>
      </c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51</v>
      </c>
      <c r="R1" s="6" t="s">
        <v>52</v>
      </c>
      <c r="S1" s="6" t="s">
        <v>53</v>
      </c>
      <c r="T1" s="6" t="s">
        <v>54</v>
      </c>
      <c r="U1" s="6" t="s">
        <v>55</v>
      </c>
      <c r="V1" s="6" t="s">
        <v>56</v>
      </c>
      <c r="W1" s="6" t="s">
        <v>57</v>
      </c>
      <c r="X1" s="6" t="s">
        <v>58</v>
      </c>
      <c r="Y1" s="6" t="s">
        <v>59</v>
      </c>
      <c r="Z1" s="6" t="s">
        <v>60</v>
      </c>
      <c r="AA1" s="6" t="s">
        <v>61</v>
      </c>
      <c r="AB1" s="6" t="s">
        <v>62</v>
      </c>
      <c r="AC1" s="6" t="s">
        <v>63</v>
      </c>
      <c r="AD1" s="6" t="s">
        <v>64</v>
      </c>
      <c r="AE1" s="6" t="s">
        <v>65</v>
      </c>
      <c r="AF1" s="6" t="s">
        <v>66</v>
      </c>
      <c r="AG1" s="6" t="s">
        <v>67</v>
      </c>
      <c r="AH1" s="6" t="s">
        <v>89</v>
      </c>
    </row>
    <row r="2" spans="1:34" x14ac:dyDescent="0.25">
      <c r="A2">
        <f>QUESTIONARI!C11</f>
        <v>0</v>
      </c>
      <c r="B2">
        <f>QUESTIONARI!C8</f>
        <v>0</v>
      </c>
      <c r="C2">
        <f>QUESTIONARI!C9</f>
        <v>0</v>
      </c>
      <c r="D2">
        <f>QUESTIONARI!C10</f>
        <v>0</v>
      </c>
      <c r="E2">
        <f>QUESTIONARI!C64</f>
        <v>0</v>
      </c>
      <c r="F2" t="str">
        <f>IF(QUESTIONARI!C16="X","Per iniciativa pròpia; ","") &amp;
IF(QUESTIONARI!C17="X","Per indicació del meu cap; ","") &amp;
IF(QUESTIONARI!C18="X","Per recomanació d'un company; ","") &amp;
IF(QUESTIONARI!C19="X","Altres (especificar)","")</f>
        <v/>
      </c>
      <c r="G2" t="str">
        <f>IF(QUESTIONARI!G16="X","Fer millor la meva feina en el lloc de treball actual; ","") &amp;
IF(QUESTIONARI!G17="X","Preparar-me per a una feina que vull fer en el futur; ","") &amp;
IF(QUESTIONARI!G18="X","Altres (especificar); ","") &amp;
IF(QUESTIONARI!G19="X","","")</f>
        <v/>
      </c>
      <c r="H2">
        <f>QUESTIONARI!C82</f>
        <v>0</v>
      </c>
      <c r="I2">
        <f>QUESTIONARI!B84</f>
        <v>0</v>
      </c>
      <c r="J2">
        <f>QUESTIONARI!B68</f>
        <v>0</v>
      </c>
      <c r="K2">
        <f>QUESTIONARI!B73</f>
        <v>0</v>
      </c>
      <c r="L2">
        <f>QUESTIONARI!B78</f>
        <v>0</v>
      </c>
      <c r="M2">
        <f>QUESTIONARI!B89</f>
        <v>0</v>
      </c>
      <c r="N2" t="str">
        <f>IF(QUESTIONARI!C23="X","Gens d'acord",IF(QUESTIONARI!D23="X","Poc d'acord",IF(QUESTIONARI!E23="X","Bastant d'acord",IF(QUESTIONARI!F23="X","Molt d'acord",""))))</f>
        <v/>
      </c>
      <c r="O2" t="str">
        <f>IF(QUESTIONARI!C24="X","Gens d'acord",IF(QUESTIONARI!D24="X","Poc d'acord",IF(QUESTIONARI!E24="X","Bastant d'acord",IF(QUESTIONARI!F24="X","Molt d'acord",""))))</f>
        <v/>
      </c>
      <c r="P2" t="str">
        <f>IF(QUESTIONARI!C25="X","Gens d'acord",IF(QUESTIONARI!D25="X","Poc d'acord",IF(QUESTIONARI!E25="X","Bastant d'acord",IF(QUESTIONARI!F25="X","Molt d'acord",""))))</f>
        <v/>
      </c>
      <c r="Q2" t="str">
        <f>IF(QUESTIONARI!C29="X","Gens d'acord",IF(QUESTIONARI!D29="X","Poc d'acord",IF(QUESTIONARI!E29="X","Bastant d'acord",IF(QUESTIONARI!F29="X","Molt d'acord",""))))</f>
        <v/>
      </c>
      <c r="R2" t="str">
        <f>IF(QUESTIONARI!C30="X","Gens d'acord",IF(QUESTIONARI!D30="X","Poc d'acord",IF(QUESTIONARI!E30="X","Bastant d'acord",IF(QUESTIONARI!F30="X","Molt d'acord",""))))</f>
        <v/>
      </c>
      <c r="S2" t="str">
        <f>IF(QUESTIONARI!C31="X","Gens d'acord",IF(QUESTIONARI!D31="X","Poc d'acord",IF(QUESTIONARI!E31="X","Bastant d'acord",IF(QUESTIONARI!F31="X","Molt d'acord",""))))</f>
        <v/>
      </c>
      <c r="T2" t="str">
        <f>IF(QUESTIONARI!C35="X","Gens d'acord",IF(QUESTIONARI!D35="X","Poc d'acord",IF(QUESTIONARI!E35="X","Bastant d'acord",IF(QUESTIONARI!F35="X","Molt d'acord",""))))</f>
        <v/>
      </c>
      <c r="U2" t="str">
        <f>IF(QUESTIONARI!C36="X","Gens d'acord",IF(QUESTIONARI!D36="X","Poc d'acord",IF(QUESTIONARI!E36="X","Bastant d'acord",IF(QUESTIONARI!F36="X","Molt d'acord",""))))</f>
        <v/>
      </c>
      <c r="V2" t="str">
        <f>IF(QUESTIONARI!C37="X","Gens d'acord",IF(QUESTIONARI!D37="X","Poc d'acord",IF(QUESTIONARI!E37="X","Bastant d'acord",IF(QUESTIONARI!F37="X","Molt d'acord",""))))</f>
        <v/>
      </c>
      <c r="W2" t="str">
        <f>IF(QUESTIONARI!C38="X","Gens d'acord",IF(QUESTIONARI!D38="X","Poc d'acord",IF(QUESTIONARI!E38="X","Bastant d'acord",IF(QUESTIONARI!F38="X","Molt d'acord",""))))</f>
        <v/>
      </c>
      <c r="X2" t="str">
        <f>IF(QUESTIONARI!C42="X","Gens d'acord",IF(QUESTIONARI!D42="X","Poc d'acord",IF(QUESTIONARI!E42="X","Bastant d'acord",IF(QUESTIONARI!F42="X","Molt d'acord",""))))</f>
        <v/>
      </c>
      <c r="Y2" t="str">
        <f>IF(QUESTIONARI!C43="X","Gens d'acord",IF(QUESTIONARI!D43="X","Poc d'acord",IF(QUESTIONARI!E43="X","Bastant d'acord",IF(QUESTIONARI!F43="X","Molt d'acord",""))))</f>
        <v/>
      </c>
      <c r="Z2" t="str">
        <f>IF(QUESTIONARI!C47="X","Gens d'acord",IF(QUESTIONARI!D47="X","Poc d'acord",IF(QUESTIONARI!E47="X","Bastant d'acord",IF(QUESTIONARI!F47="X","Molt d'acord",""))))</f>
        <v/>
      </c>
      <c r="AA2" t="str">
        <f>IF(QUESTIONARI!C48="X","Gens d'acord",IF(QUESTIONARI!D48="X","Poc d'acord",IF(QUESTIONARI!E48="X","Bastant d'acord",IF(QUESTIONARI!F48="X","Molt d'acord",""))))</f>
        <v/>
      </c>
      <c r="AB2" t="str">
        <f>IF(QUESTIONARI!C49="X","Gens d'acord",IF(QUESTIONARI!D49="X","Poc d'acord",IF(QUESTIONARI!E49="X","Bastant d'acord",IF(QUESTIONARI!F49="X","Molt d'acord",""))))</f>
        <v/>
      </c>
      <c r="AC2" t="str">
        <f>IF(QUESTIONARI!C53="X","Gens d'acord",IF(QUESTIONARI!D53="X","Poc d'acord",IF(QUESTIONARI!E53="X","Bastant d'acord",IF(QUESTIONARI!F53="X","Molt d'acord",""))))</f>
        <v/>
      </c>
      <c r="AD2" t="str">
        <f>IF(QUESTIONARI!C54="X","Gens d'acord",IF(QUESTIONARI!D54="X","Poc d'acord",IF(QUESTIONARI!E54="X","Bastant d'acord",IF(QUESTIONARI!F54="X","Molt d'acord",""))))</f>
        <v/>
      </c>
      <c r="AE2" t="str">
        <f>IF(QUESTIONARI!C55="X","Gens d'acord",IF(QUESTIONARI!D55="X","Poc d'acord",IF(QUESTIONARI!E55="X","Bastant d'acord",IF(QUESTIONARI!F55="X","Molt d'acord",""))))</f>
        <v/>
      </c>
      <c r="AF2" t="str">
        <f>IF(QUESTIONARI!C59="X","Gens d'acord",IF(QUESTIONARI!D59="X","Poc d'acord",IF(QUESTIONARI!E59="X","Bastant d'acord",IF(QUESTIONARI!F59="X","Molt d'acord",""))))</f>
        <v/>
      </c>
      <c r="AG2" t="str">
        <f>IF(QUESTIONARI!C60="X","Gens d'acord",IF(QUESTIONARI!D60="X","Poc d'acord",IF(QUESTIONARI!E60="X","Bastant d'acord",IF(QUESTIONARI!F60="X","Molt d'acord",""))))</f>
        <v/>
      </c>
      <c r="AH2">
        <f>QUESTIONARI!C12</f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a0e6045-188d-4c13-bc7f-8059291f1480}" enabled="1" method="Privileged" siteId="{0144b10e-2b59-46ab-ac58-7a41eed212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QUESTIONARI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Anabel Guerrero</cp:lastModifiedBy>
  <cp:lastPrinted>2026-02-20T12:03:45Z</cp:lastPrinted>
  <dcterms:created xsi:type="dcterms:W3CDTF">2026-02-18T17:48:14Z</dcterms:created>
  <dcterms:modified xsi:type="dcterms:W3CDTF">2026-03-29T11:56:30Z</dcterms:modified>
</cp:coreProperties>
</file>